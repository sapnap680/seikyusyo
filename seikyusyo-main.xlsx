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inco\Dropbox\日学財務\李相佰盃\第49回\"/>
    </mc:Choice>
  </mc:AlternateContent>
  <xr:revisionPtr revIDLastSave="0" documentId="13_ncr:1_{D6FCC623-90AD-4113-9987-FE6B4BB1D4A3}" xr6:coauthVersionLast="47" xr6:coauthVersionMax="47" xr10:uidLastSave="{00000000-0000-0000-0000-000000000000}"/>
  <bookViews>
    <workbookView xWindow="-110" yWindow="-110" windowWidth="22780" windowHeight="14540" xr2:uid="{828D80C6-AFB2-484D-AEC2-DA30AB1392D4}"/>
  </bookViews>
  <sheets>
    <sheet name="売上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5" i="1" l="1"/>
  <c r="M6" i="1"/>
  <c r="M7" i="1"/>
  <c r="E7" i="1"/>
  <c r="H7" i="1"/>
  <c r="N7" i="1" s="1"/>
  <c r="J7" i="1"/>
  <c r="L7" i="1"/>
  <c r="E6" i="1"/>
  <c r="H6" i="1"/>
  <c r="N6" i="1" s="1"/>
  <c r="J6" i="1"/>
  <c r="L6" i="1"/>
  <c r="M5" i="1"/>
  <c r="F8" i="1"/>
  <c r="Q7" i="1" l="1"/>
  <c r="P7" i="1"/>
  <c r="O7" i="1"/>
  <c r="O6" i="1"/>
  <c r="Q6" i="1"/>
  <c r="P6" i="1"/>
  <c r="M8" i="1" l="1"/>
  <c r="M15" i="1" s="1"/>
  <c r="E5" i="1" l="1"/>
  <c r="K8" i="1"/>
  <c r="K15" i="1" s="1"/>
  <c r="I8" i="1"/>
  <c r="I15" i="1" s="1"/>
  <c r="G8" i="1"/>
  <c r="G15" i="1" s="1"/>
  <c r="D8" i="1"/>
  <c r="D15" i="1" s="1"/>
  <c r="H5" i="1"/>
  <c r="O5" i="1" l="1"/>
  <c r="N5" i="1"/>
  <c r="J5" i="1" l="1"/>
  <c r="L5" i="1"/>
  <c r="P5" i="1" l="1"/>
  <c r="P8" i="1" s="1"/>
  <c r="P15" i="1" s="1"/>
  <c r="Q5" i="1"/>
  <c r="E8" i="1"/>
  <c r="E15" i="1" s="1"/>
  <c r="H8" i="1" l="1"/>
  <c r="H15" i="1" s="1"/>
  <c r="L8" i="1"/>
  <c r="L15" i="1" s="1"/>
  <c r="J8" i="1"/>
  <c r="J15" i="1" s="1"/>
  <c r="N8" i="1" l="1"/>
  <c r="N15" i="1" s="1"/>
  <c r="O8" i="1" l="1"/>
  <c r="O15" i="1" s="1"/>
  <c r="Q8" i="1" l="1"/>
  <c r="Q15" i="1" s="1"/>
</calcChain>
</file>

<file path=xl/sharedStrings.xml><?xml version="1.0" encoding="utf-8"?>
<sst xmlns="http://schemas.openxmlformats.org/spreadsheetml/2006/main" count="64" uniqueCount="31">
  <si>
    <t>日時</t>
    <rPh sb="0" eb="2">
      <t>ニチジ</t>
    </rPh>
    <phoneticPr fontId="3"/>
  </si>
  <si>
    <t>無料</t>
    <rPh sb="0" eb="2">
      <t>ムリョウ</t>
    </rPh>
    <phoneticPr fontId="3"/>
  </si>
  <si>
    <t>備考</t>
    <rPh sb="0" eb="2">
      <t>ビコウ</t>
    </rPh>
    <phoneticPr fontId="3"/>
  </si>
  <si>
    <t>有料開催</t>
    <rPh sb="0" eb="4">
      <t>ユウリョウカイサイ</t>
    </rPh>
    <phoneticPr fontId="3"/>
  </si>
  <si>
    <t>冊数</t>
    <phoneticPr fontId="3"/>
  </si>
  <si>
    <t>入場者数</t>
    <rPh sb="0" eb="4">
      <t>ニュウジョウシャスウ</t>
    </rPh>
    <phoneticPr fontId="3"/>
  </si>
  <si>
    <t>金額</t>
    <rPh sb="0" eb="1">
      <t>チ</t>
    </rPh>
    <phoneticPr fontId="3"/>
  </si>
  <si>
    <t>入場者数</t>
    <phoneticPr fontId="3"/>
  </si>
  <si>
    <t>口座入金済み</t>
    <rPh sb="0" eb="5">
      <t>コウザニュウキンズ</t>
    </rPh>
    <phoneticPr fontId="3"/>
  </si>
  <si>
    <t>合計</t>
    <rPh sb="0" eb="2">
      <t>ゴウケイ</t>
    </rPh>
    <phoneticPr fontId="3"/>
  </si>
  <si>
    <t>有料開催</t>
    <rPh sb="0" eb="2">
      <t>ユウリョウ</t>
    </rPh>
    <rPh sb="2" eb="4">
      <t>カイサイ</t>
    </rPh>
    <phoneticPr fontId="3"/>
  </si>
  <si>
    <r>
      <rPr>
        <b/>
        <sz val="11"/>
        <color theme="1"/>
        <rFont val="ＭＳ Ｐゴシック"/>
        <family val="3"/>
        <charset val="128"/>
      </rPr>
      <t>会場</t>
    </r>
    <rPh sb="0" eb="2">
      <t>カイジョウ</t>
    </rPh>
    <phoneticPr fontId="3"/>
  </si>
  <si>
    <r>
      <rPr>
        <b/>
        <sz val="11"/>
        <color theme="1"/>
        <rFont val="ＭＳ Ｐゴシック"/>
        <family val="3"/>
        <charset val="128"/>
      </rPr>
      <t>金額</t>
    </r>
    <rPh sb="0" eb="2">
      <t>キンガク</t>
    </rPh>
    <phoneticPr fontId="3"/>
  </si>
  <si>
    <r>
      <rPr>
        <b/>
        <sz val="11"/>
        <color indexed="8"/>
        <rFont val="ＭＳ Ｐゴシック"/>
        <family val="3"/>
        <charset val="128"/>
      </rPr>
      <t>入場者数</t>
    </r>
    <rPh sb="0" eb="2">
      <t>ニュウジョウ</t>
    </rPh>
    <rPh sb="2" eb="3">
      <t>シャ</t>
    </rPh>
    <rPh sb="3" eb="4">
      <t>スウ</t>
    </rPh>
    <phoneticPr fontId="3"/>
  </si>
  <si>
    <t>小計</t>
    <rPh sb="0" eb="2">
      <t>ショウケイ</t>
    </rPh>
    <phoneticPr fontId="3"/>
  </si>
  <si>
    <t>プログラム</t>
    <phoneticPr fontId="3"/>
  </si>
  <si>
    <r>
      <rPr>
        <b/>
        <sz val="12"/>
        <color theme="1"/>
        <rFont val="ＭＳ Ｐゴシック"/>
        <family val="3"/>
        <charset val="128"/>
      </rPr>
      <t>会場</t>
    </r>
    <rPh sb="0" eb="2">
      <t>カイジョウ</t>
    </rPh>
    <phoneticPr fontId="3"/>
  </si>
  <si>
    <t>総売り上げ</t>
    <rPh sb="0" eb="1">
      <t>ソウ</t>
    </rPh>
    <rPh sb="1" eb="2">
      <t>ウ</t>
    </rPh>
    <rPh sb="3" eb="4">
      <t>ア</t>
    </rPh>
    <phoneticPr fontId="3"/>
  </si>
  <si>
    <t>未収金</t>
    <rPh sb="0" eb="3">
      <t>ミシュウキン</t>
    </rPh>
    <phoneticPr fontId="3"/>
  </si>
  <si>
    <t>2階自由席</t>
    <rPh sb="1" eb="5">
      <t>カイセキ</t>
    </rPh>
    <phoneticPr fontId="3"/>
  </si>
  <si>
    <r>
      <t>2</t>
    </r>
    <r>
      <rPr>
        <b/>
        <sz val="11"/>
        <color theme="1"/>
        <rFont val="ＭＳ ゴシック"/>
        <family val="3"/>
        <charset val="128"/>
      </rPr>
      <t>階自由席</t>
    </r>
    <rPh sb="1" eb="2">
      <t>カイ</t>
    </rPh>
    <rPh sb="2" eb="5">
      <t>ジユウ</t>
    </rPh>
    <phoneticPr fontId="3"/>
  </si>
  <si>
    <t>学生役員口座
入金額
(現金売上）</t>
    <rPh sb="0" eb="2">
      <t>ガクセイ</t>
    </rPh>
    <rPh sb="2" eb="4">
      <t>ヤクイン</t>
    </rPh>
    <rPh sb="4" eb="6">
      <t>コウザ</t>
    </rPh>
    <rPh sb="7" eb="9">
      <t>ニュウキン</t>
    </rPh>
    <rPh sb="9" eb="10">
      <t>ガク</t>
    </rPh>
    <rPh sb="12" eb="16">
      <t>ゲンキンウリアゲ</t>
    </rPh>
    <phoneticPr fontId="3"/>
  </si>
  <si>
    <t>学生役員口座
入金額
(現金売上）</t>
    <rPh sb="7" eb="9">
      <t>ニュウキン</t>
    </rPh>
    <rPh sb="8" eb="9">
      <t>クチイレ</t>
    </rPh>
    <rPh sb="9" eb="10">
      <t>ガク</t>
    </rPh>
    <rPh sb="12" eb="16">
      <t>ゲンキンウリアゲ</t>
    </rPh>
    <phoneticPr fontId="3"/>
  </si>
  <si>
    <t>2階自由席</t>
    <rPh sb="1" eb="2">
      <t>カイ</t>
    </rPh>
    <rPh sb="2" eb="5">
      <t>ジユウセキ</t>
    </rPh>
    <phoneticPr fontId="3"/>
  </si>
  <si>
    <t>未収金
(北海道学連キャッシュレス分）</t>
    <rPh sb="0" eb="3">
      <t>ミシュウキン</t>
    </rPh>
    <rPh sb="5" eb="10">
      <t>ホッカイドウガクレン</t>
    </rPh>
    <rPh sb="17" eb="18">
      <t>ブン</t>
    </rPh>
    <phoneticPr fontId="3"/>
  </si>
  <si>
    <t xml:space="preserve">入場合計（スクエア含む）
</t>
    <rPh sb="0" eb="2">
      <t>ニュウジョウ</t>
    </rPh>
    <rPh sb="2" eb="4">
      <t>ゴウケイ</t>
    </rPh>
    <rPh sb="9" eb="10">
      <t>フク</t>
    </rPh>
    <phoneticPr fontId="3"/>
  </si>
  <si>
    <t>北ガスアリーナ札幌46</t>
    <rPh sb="0" eb="1">
      <t>キタ</t>
    </rPh>
    <rPh sb="7" eb="9">
      <t>サッポロ</t>
    </rPh>
    <phoneticPr fontId="3"/>
  </si>
  <si>
    <t>北ガスアリーナ札幌46</t>
    <phoneticPr fontId="3"/>
  </si>
  <si>
    <t>第49回李相佰売上一覧</t>
    <rPh sb="0" eb="1">
      <t>ダイ</t>
    </rPh>
    <rPh sb="3" eb="4">
      <t>カイ</t>
    </rPh>
    <rPh sb="4" eb="7">
      <t>リソウヒャク</t>
    </rPh>
    <rPh sb="7" eb="11">
      <t>ウリアゲイチラン</t>
    </rPh>
    <phoneticPr fontId="3"/>
  </si>
  <si>
    <t>無料=中高生以下+北海道学連関係者+友人招待</t>
    <rPh sb="0" eb="1">
      <t>ムリョウ</t>
    </rPh>
    <rPh sb="3" eb="6">
      <t>チュウコウセイ</t>
    </rPh>
    <rPh sb="6" eb="8">
      <t>イカ</t>
    </rPh>
    <rPh sb="9" eb="12">
      <t>ホッカイドウ</t>
    </rPh>
    <rPh sb="12" eb="14">
      <t>ガクレン</t>
    </rPh>
    <rPh sb="14" eb="17">
      <t>カンケイシャ</t>
    </rPh>
    <rPh sb="18" eb="22">
      <t>ユウジンス</t>
    </rPh>
    <phoneticPr fontId="3"/>
  </si>
  <si>
    <t>(内)北海道学連キャッシュレス分</t>
    <rPh sb="1" eb="2">
      <t>ウチ</t>
    </rPh>
    <rPh sb="3" eb="8">
      <t>ホッカイドウガクレン</t>
    </rPh>
    <rPh sb="15" eb="16">
      <t>ブン</t>
    </rPh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</si>
</sst>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6" formatCode="&quot;¥&quot;#,##0;[Red]&quot;¥&quot;\-#,##0"/>
    <numFmt numFmtId="41" formatCode="_ * #,##0_ ;_ * \-#,##0_ ;_ * &quot;-&quot;_ ;_ @_ "/>
    <numFmt numFmtId="176" formatCode="m&quot;月&quot;d&quot;日&quot;;@"/>
    <numFmt numFmtId="177" formatCode="&quot;¥&quot;#,##0_);[Red]\(&quot;¥&quot;#,##0\)"/>
    <numFmt numFmtId="178" formatCode="&quot;¥&quot;#,##0_);\(&quot;¥&quot;#,##0\)"/>
  </numFmts>
  <fonts count="28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b/>
      <sz val="14"/>
      <color theme="1"/>
      <name val="ＭＳ Ｐゴシック"/>
      <family val="3"/>
      <charset val="128"/>
    </font>
    <font>
      <sz val="6"/>
      <name val="ＭＳ Ｐゴシック"/>
      <family val="3"/>
      <charset val="128"/>
    </font>
    <font>
      <sz val="12"/>
      <color theme="1"/>
      <name val="ＭＳ Ｐゴシック"/>
      <family val="2"/>
      <charset val="128"/>
    </font>
    <font>
      <sz val="11"/>
      <color theme="1"/>
      <name val="Tahoma"/>
      <family val="2"/>
    </font>
    <font>
      <sz val="11"/>
      <color theme="1"/>
      <name val="ＭＳ Ｐゴシック"/>
      <family val="3"/>
      <charset val="128"/>
    </font>
    <font>
      <sz val="11"/>
      <color theme="1"/>
      <name val="Tahoma"/>
      <family val="3"/>
      <charset val="128"/>
    </font>
    <font>
      <sz val="18"/>
      <color theme="1"/>
      <name val="Tahoma"/>
      <family val="2"/>
    </font>
    <font>
      <sz val="9"/>
      <color theme="1"/>
      <name val="游ゴシック"/>
      <family val="2"/>
      <charset val="128"/>
      <scheme val="minor"/>
    </font>
    <font>
      <sz val="11"/>
      <color theme="1"/>
      <name val="游ゴシック"/>
      <family val="3"/>
      <charset val="128"/>
      <scheme val="minor"/>
    </font>
    <font>
      <b/>
      <sz val="11"/>
      <color theme="1"/>
      <name val="Tahoma"/>
      <family val="2"/>
    </font>
    <font>
      <b/>
      <sz val="11"/>
      <color theme="1"/>
      <name val="ＭＳ Ｐゴシック"/>
      <family val="3"/>
      <charset val="128"/>
    </font>
    <font>
      <b/>
      <sz val="16"/>
      <color theme="1"/>
      <name val="ＭＳ Ｐゴシック"/>
      <family val="3"/>
      <charset val="128"/>
    </font>
    <font>
      <b/>
      <sz val="11"/>
      <color theme="1"/>
      <name val="ＭＳ Ｐゴシック"/>
      <family val="2"/>
      <charset val="128"/>
    </font>
    <font>
      <b/>
      <sz val="12"/>
      <color theme="1"/>
      <name val="ＭＳ Ｐゴシック"/>
      <family val="3"/>
      <charset val="128"/>
    </font>
    <font>
      <b/>
      <sz val="11"/>
      <color indexed="8"/>
      <name val="Tahoma"/>
      <family val="2"/>
    </font>
    <font>
      <b/>
      <sz val="11"/>
      <color indexed="8"/>
      <name val="ＭＳ Ｐゴシック"/>
      <family val="3"/>
      <charset val="128"/>
    </font>
    <font>
      <b/>
      <sz val="10"/>
      <color theme="1"/>
      <name val="Yu Gothic"/>
      <family val="3"/>
      <charset val="128"/>
    </font>
    <font>
      <b/>
      <sz val="8"/>
      <color theme="1"/>
      <name val="Yu Gothic"/>
      <family val="3"/>
      <charset val="128"/>
    </font>
    <font>
      <b/>
      <sz val="11"/>
      <color rgb="FFFF0000"/>
      <name val="Meiryo UI"/>
      <family val="3"/>
      <charset val="128"/>
    </font>
    <font>
      <b/>
      <sz val="11"/>
      <color rgb="FFFF0000"/>
      <name val="Tahoma"/>
      <family val="2"/>
    </font>
    <font>
      <b/>
      <sz val="12"/>
      <color theme="1"/>
      <name val="游ゴシック"/>
      <family val="3"/>
      <charset val="128"/>
      <scheme val="minor"/>
    </font>
    <font>
      <b/>
      <sz val="12"/>
      <color theme="1"/>
      <name val="Tahoma"/>
      <family val="2"/>
    </font>
    <font>
      <b/>
      <sz val="11"/>
      <color theme="1"/>
      <name val="Tahoma"/>
      <family val="2"/>
      <charset val="128"/>
    </font>
    <font>
      <b/>
      <sz val="11"/>
      <color theme="1"/>
      <name val="ＭＳ ゴシック"/>
      <family val="3"/>
      <charset val="128"/>
    </font>
    <font>
      <sz val="14"/>
      <color theme="1"/>
      <name val="Tahoma"/>
      <family val="2"/>
    </font>
    <font>
      <b/>
      <sz val="14"/>
      <color theme="1"/>
      <name val="游ゴシック"/>
      <family val="3"/>
      <charset val="128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CAC9F"/>
        <bgColor indexed="64"/>
      </patternFill>
    </fill>
    <fill>
      <patternFill patternType="solid">
        <fgColor rgb="FFB1C4FF"/>
        <bgColor indexed="64"/>
      </patternFill>
    </fill>
    <fill>
      <patternFill patternType="solid">
        <fgColor rgb="FFCAFFD1"/>
        <bgColor indexed="64"/>
      </patternFill>
    </fill>
    <fill>
      <patternFill patternType="solid">
        <fgColor rgb="FFFFB1B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</fills>
  <borders count="64">
    <border>
      <left/>
      <right/>
      <top/>
      <bottom/>
      <diagonal/>
    </border>
    <border>
      <left style="double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double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double">
        <color indexed="64"/>
      </right>
      <top/>
      <bottom style="double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double">
        <color indexed="64"/>
      </left>
      <right style="double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dotted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 style="dotted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dotted">
        <color indexed="64"/>
      </right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 style="double">
        <color indexed="64"/>
      </bottom>
      <diagonal/>
    </border>
    <border>
      <left style="dotted">
        <color indexed="64"/>
      </left>
      <right style="double">
        <color indexed="64"/>
      </right>
      <top style="double">
        <color indexed="64"/>
      </top>
      <bottom style="medium">
        <color indexed="64"/>
      </bottom>
      <diagonal/>
    </border>
    <border>
      <left/>
      <right style="double">
        <color indexed="64"/>
      </right>
      <top style="double">
        <color indexed="64"/>
      </top>
      <bottom style="medium">
        <color indexed="64"/>
      </bottom>
      <diagonal/>
    </border>
    <border>
      <left style="medium">
        <color indexed="64"/>
      </left>
      <right style="double">
        <color indexed="64"/>
      </right>
      <top style="double">
        <color indexed="64"/>
      </top>
      <bottom/>
      <diagonal/>
    </border>
    <border>
      <left style="medium">
        <color indexed="64"/>
      </left>
      <right style="double">
        <color indexed="64"/>
      </right>
      <top/>
      <bottom style="double">
        <color indexed="64"/>
      </bottom>
      <diagonal/>
    </border>
    <border>
      <left style="dotted">
        <color indexed="64"/>
      </left>
      <right style="double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double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double">
        <color indexed="64"/>
      </right>
      <top/>
      <bottom style="medium">
        <color indexed="64"/>
      </bottom>
      <diagonal/>
    </border>
    <border>
      <left style="dotted">
        <color indexed="64"/>
      </left>
      <right style="double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double">
        <color indexed="64"/>
      </top>
      <bottom style="medium">
        <color indexed="64"/>
      </bottom>
      <diagonal/>
    </border>
    <border>
      <left style="double">
        <color indexed="64"/>
      </left>
      <right style="dotted">
        <color indexed="64"/>
      </right>
      <top style="double">
        <color indexed="64"/>
      </top>
      <bottom style="medium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medium">
        <color indexed="64"/>
      </bottom>
      <diagonal/>
    </border>
    <border>
      <left style="double">
        <color indexed="64"/>
      </left>
      <right/>
      <top style="double">
        <color indexed="64"/>
      </top>
      <bottom style="medium">
        <color indexed="64"/>
      </bottom>
      <diagonal/>
    </border>
    <border>
      <left/>
      <right style="medium">
        <color indexed="64"/>
      </right>
      <top style="double">
        <color indexed="64"/>
      </top>
      <bottom style="medium">
        <color indexed="64"/>
      </bottom>
      <diagonal/>
    </border>
    <border>
      <left style="double">
        <color indexed="64"/>
      </left>
      <right style="dotted">
        <color indexed="64"/>
      </right>
      <top/>
      <bottom style="medium">
        <color indexed="64"/>
      </bottom>
      <diagonal/>
    </border>
    <border>
      <left style="dotted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double">
        <color indexed="64"/>
      </right>
      <top style="double">
        <color indexed="64"/>
      </top>
      <bottom style="medium">
        <color indexed="64"/>
      </bottom>
      <diagonal/>
    </border>
    <border>
      <left/>
      <right style="dotted">
        <color indexed="64"/>
      </right>
      <top style="double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double">
        <color indexed="64"/>
      </top>
      <bottom style="medium">
        <color indexed="64"/>
      </bottom>
      <diagonal/>
    </border>
    <border>
      <left/>
      <right style="dotted">
        <color indexed="64"/>
      </right>
      <top style="double">
        <color indexed="64"/>
      </top>
      <bottom/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hair">
        <color indexed="64"/>
      </right>
      <top style="double">
        <color indexed="64"/>
      </top>
      <bottom style="medium">
        <color indexed="64"/>
      </bottom>
      <diagonal/>
    </border>
    <border>
      <left style="double">
        <color indexed="64"/>
      </left>
      <right style="hair">
        <color indexed="64"/>
      </right>
      <top style="double">
        <color indexed="64"/>
      </top>
      <bottom/>
      <diagonal/>
    </border>
    <border>
      <left style="hair">
        <color indexed="64"/>
      </left>
      <right style="double">
        <color indexed="64"/>
      </right>
      <top style="double">
        <color indexed="64"/>
      </top>
      <bottom/>
      <diagonal/>
    </border>
    <border>
      <left style="medium">
        <color indexed="64"/>
      </left>
      <right style="double">
        <color indexed="64"/>
      </right>
      <top/>
      <bottom/>
      <diagonal/>
    </border>
    <border>
      <left style="double">
        <color indexed="64"/>
      </left>
      <right style="double">
        <color indexed="64"/>
      </right>
      <top/>
      <bottom style="medium">
        <color indexed="64"/>
      </bottom>
      <diagonal/>
    </border>
    <border>
      <left style="medium">
        <color indexed="64"/>
      </left>
      <right style="double">
        <color indexed="64"/>
      </right>
      <top/>
      <bottom style="medium">
        <color indexed="64"/>
      </bottom>
      <diagonal/>
    </border>
    <border>
      <left style="double">
        <color indexed="64"/>
      </left>
      <right style="double">
        <color indexed="64"/>
      </right>
      <top style="medium">
        <color indexed="64"/>
      </top>
      <bottom style="double">
        <color indexed="64"/>
      </bottom>
      <diagonal/>
    </border>
    <border>
      <left style="dotted">
        <color indexed="64"/>
      </left>
      <right/>
      <top style="medium">
        <color indexed="64"/>
      </top>
      <bottom/>
      <diagonal/>
    </border>
    <border diagonalUp="1">
      <left style="double">
        <color indexed="64"/>
      </left>
      <right/>
      <top/>
      <bottom style="medium">
        <color indexed="64"/>
      </bottom>
      <diagonal style="double">
        <color indexed="64"/>
      </diagonal>
    </border>
    <border diagonalUp="1">
      <left/>
      <right style="medium">
        <color indexed="64"/>
      </right>
      <top/>
      <bottom style="medium">
        <color indexed="64"/>
      </bottom>
      <diagonal style="double">
        <color indexed="64"/>
      </diagonal>
    </border>
    <border>
      <left style="hair">
        <color indexed="64"/>
      </left>
      <right style="double">
        <color indexed="64"/>
      </right>
      <top style="double">
        <color indexed="64"/>
      </top>
      <bottom style="medium">
        <color indexed="64"/>
      </bottom>
      <diagonal/>
    </border>
  </borders>
  <cellStyleXfs count="6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6" fontId="1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38" fontId="10" fillId="0" borderId="0" applyFont="0" applyFill="0" applyBorder="0" applyAlignment="0" applyProtection="0">
      <alignment vertical="center"/>
    </xf>
  </cellStyleXfs>
  <cellXfs count="136">
    <xf numFmtId="0" fontId="0" fillId="0" borderId="0" xfId="0">
      <alignment vertical="center"/>
    </xf>
    <xf numFmtId="38" fontId="5" fillId="0" borderId="0" xfId="1" applyFont="1" applyFill="1" applyAlignment="1">
      <alignment vertical="center" shrinkToFit="1"/>
    </xf>
    <xf numFmtId="38" fontId="8" fillId="0" borderId="19" xfId="1" applyFont="1" applyFill="1" applyBorder="1" applyAlignment="1">
      <alignment horizontal="right" vertical="center" shrinkToFit="1"/>
    </xf>
    <xf numFmtId="38" fontId="5" fillId="0" borderId="0" xfId="1" applyFont="1" applyFill="1" applyBorder="1" applyAlignment="1">
      <alignment horizontal="center" vertical="top" shrinkToFit="1"/>
    </xf>
    <xf numFmtId="38" fontId="4" fillId="0" borderId="0" xfId="1" applyFont="1" applyFill="1" applyBorder="1" applyAlignment="1">
      <alignment vertical="center" shrinkToFit="1"/>
    </xf>
    <xf numFmtId="38" fontId="2" fillId="0" borderId="0" xfId="1" applyFont="1" applyFill="1" applyBorder="1" applyAlignment="1">
      <alignment horizontal="left" vertical="center"/>
    </xf>
    <xf numFmtId="38" fontId="5" fillId="0" borderId="0" xfId="1" applyFont="1" applyFill="1" applyBorder="1" applyAlignment="1">
      <alignment horizontal="center" vertical="top" wrapText="1" shrinkToFit="1"/>
    </xf>
    <xf numFmtId="38" fontId="6" fillId="0" borderId="0" xfId="1" applyFont="1" applyFill="1" applyBorder="1" applyAlignment="1">
      <alignment horizontal="center" vertical="top" wrapText="1" shrinkToFit="1"/>
    </xf>
    <xf numFmtId="38" fontId="8" fillId="0" borderId="16" xfId="1" applyFont="1" applyFill="1" applyBorder="1" applyAlignment="1">
      <alignment horizontal="right" vertical="center" shrinkToFit="1"/>
    </xf>
    <xf numFmtId="38" fontId="8" fillId="0" borderId="27" xfId="1" applyFont="1" applyFill="1" applyBorder="1" applyAlignment="1">
      <alignment horizontal="right" vertical="center" shrinkToFit="1"/>
    </xf>
    <xf numFmtId="38" fontId="8" fillId="0" borderId="15" xfId="1" applyFont="1" applyFill="1" applyBorder="1" applyAlignment="1">
      <alignment horizontal="right" vertical="center" shrinkToFit="1"/>
    </xf>
    <xf numFmtId="38" fontId="7" fillId="0" borderId="0" xfId="1" applyFont="1" applyFill="1" applyBorder="1" applyAlignment="1">
      <alignment horizontal="center" vertical="top" wrapText="1" shrinkToFit="1"/>
    </xf>
    <xf numFmtId="38" fontId="8" fillId="0" borderId="33" xfId="1" applyFont="1" applyFill="1" applyBorder="1" applyAlignment="1">
      <alignment horizontal="right" vertical="center" shrinkToFit="1"/>
    </xf>
    <xf numFmtId="38" fontId="12" fillId="0" borderId="4" xfId="1" applyFont="1" applyFill="1" applyBorder="1" applyAlignment="1">
      <alignment horizontal="center" vertical="center" shrinkToFit="1"/>
    </xf>
    <xf numFmtId="41" fontId="19" fillId="0" borderId="0" xfId="1" applyNumberFormat="1" applyFont="1" applyFill="1" applyBorder="1" applyAlignment="1">
      <alignment horizontal="center" vertical="center" wrapText="1"/>
    </xf>
    <xf numFmtId="176" fontId="13" fillId="0" borderId="34" xfId="1" applyNumberFormat="1" applyFont="1" applyFill="1" applyBorder="1" applyAlignment="1">
      <alignment horizontal="center" vertical="center" wrapText="1"/>
    </xf>
    <xf numFmtId="38" fontId="4" fillId="0" borderId="0" xfId="1" applyFont="1" applyFill="1" applyBorder="1" applyAlignment="1">
      <alignment horizontal="center" vertical="center" shrinkToFit="1"/>
    </xf>
    <xf numFmtId="38" fontId="8" fillId="0" borderId="38" xfId="1" applyFont="1" applyFill="1" applyBorder="1" applyAlignment="1">
      <alignment horizontal="right" vertical="center" shrinkToFit="1"/>
    </xf>
    <xf numFmtId="38" fontId="8" fillId="0" borderId="40" xfId="1" applyFont="1" applyFill="1" applyBorder="1" applyAlignment="1">
      <alignment horizontal="right" vertical="center" shrinkToFit="1"/>
    </xf>
    <xf numFmtId="38" fontId="8" fillId="0" borderId="41" xfId="1" applyFont="1" applyFill="1" applyBorder="1" applyAlignment="1">
      <alignment horizontal="right" vertical="center" shrinkToFit="1"/>
    </xf>
    <xf numFmtId="38" fontId="8" fillId="0" borderId="37" xfId="1" applyFont="1" applyFill="1" applyBorder="1" applyAlignment="1">
      <alignment horizontal="right" vertical="center" shrinkToFit="1"/>
    </xf>
    <xf numFmtId="38" fontId="8" fillId="0" borderId="44" xfId="1" applyFont="1" applyFill="1" applyBorder="1" applyAlignment="1">
      <alignment horizontal="right" vertical="center" shrinkToFit="1"/>
    </xf>
    <xf numFmtId="38" fontId="8" fillId="0" borderId="45" xfId="1" applyFont="1" applyFill="1" applyBorder="1" applyAlignment="1">
      <alignment horizontal="right" vertical="center" shrinkToFit="1"/>
    </xf>
    <xf numFmtId="41" fontId="18" fillId="0" borderId="39" xfId="1" applyNumberFormat="1" applyFont="1" applyFill="1" applyBorder="1" applyAlignment="1">
      <alignment horizontal="center" vertical="center" wrapText="1"/>
    </xf>
    <xf numFmtId="38" fontId="8" fillId="0" borderId="47" xfId="1" applyFont="1" applyFill="1" applyBorder="1" applyAlignment="1">
      <alignment horizontal="right" vertical="center" shrinkToFit="1"/>
    </xf>
    <xf numFmtId="38" fontId="5" fillId="0" borderId="48" xfId="1" applyFont="1" applyFill="1" applyBorder="1" applyAlignment="1">
      <alignment horizontal="center" vertical="top" shrinkToFit="1"/>
    </xf>
    <xf numFmtId="38" fontId="4" fillId="0" borderId="21" xfId="1" applyFont="1" applyFill="1" applyBorder="1" applyAlignment="1">
      <alignment vertical="center" shrinkToFit="1"/>
    </xf>
    <xf numFmtId="38" fontId="8" fillId="0" borderId="21" xfId="1" applyFont="1" applyFill="1" applyBorder="1" applyAlignment="1">
      <alignment horizontal="right" vertical="center" shrinkToFit="1"/>
    </xf>
    <xf numFmtId="38" fontId="8" fillId="0" borderId="50" xfId="1" applyFont="1" applyFill="1" applyBorder="1" applyAlignment="1">
      <alignment horizontal="right" vertical="center" shrinkToFit="1"/>
    </xf>
    <xf numFmtId="176" fontId="13" fillId="0" borderId="46" xfId="1" applyNumberFormat="1" applyFont="1" applyFill="1" applyBorder="1" applyAlignment="1">
      <alignment horizontal="center" vertical="center" wrapText="1"/>
    </xf>
    <xf numFmtId="41" fontId="18" fillId="0" borderId="9" xfId="1" applyNumberFormat="1" applyFont="1" applyFill="1" applyBorder="1" applyAlignment="1">
      <alignment horizontal="center" vertical="center" wrapText="1"/>
    </xf>
    <xf numFmtId="38" fontId="15" fillId="0" borderId="46" xfId="1" applyFont="1" applyFill="1" applyBorder="1" applyAlignment="1">
      <alignment horizontal="center" vertical="center" shrinkToFit="1"/>
    </xf>
    <xf numFmtId="38" fontId="15" fillId="0" borderId="30" xfId="1" applyFont="1" applyFill="1" applyBorder="1" applyAlignment="1">
      <alignment horizontal="center" vertical="center" shrinkToFit="1"/>
    </xf>
    <xf numFmtId="38" fontId="11" fillId="0" borderId="29" xfId="1" applyFont="1" applyFill="1" applyBorder="1" applyAlignment="1">
      <alignment horizontal="center" vertical="center" shrinkToFit="1"/>
    </xf>
    <xf numFmtId="38" fontId="11" fillId="0" borderId="30" xfId="1" applyFont="1" applyFill="1" applyBorder="1" applyAlignment="1">
      <alignment horizontal="center" vertical="center" shrinkToFit="1"/>
    </xf>
    <xf numFmtId="38" fontId="12" fillId="0" borderId="49" xfId="1" applyFont="1" applyFill="1" applyBorder="1" applyAlignment="1">
      <alignment horizontal="center" vertical="center" shrinkToFit="1"/>
    </xf>
    <xf numFmtId="38" fontId="12" fillId="0" borderId="29" xfId="1" applyFont="1" applyFill="1" applyBorder="1" applyAlignment="1">
      <alignment horizontal="center" vertical="center" shrinkToFit="1"/>
    </xf>
    <xf numFmtId="38" fontId="16" fillId="0" borderId="47" xfId="1" applyFont="1" applyFill="1" applyBorder="1" applyAlignment="1">
      <alignment horizontal="center" vertical="center" shrinkToFit="1"/>
    </xf>
    <xf numFmtId="38" fontId="5" fillId="0" borderId="0" xfId="1" applyFont="1" applyFill="1" applyBorder="1" applyAlignment="1">
      <alignment horizontal="center" vertical="center" shrinkToFit="1"/>
    </xf>
    <xf numFmtId="38" fontId="11" fillId="0" borderId="49" xfId="1" applyFont="1" applyFill="1" applyBorder="1" applyAlignment="1">
      <alignment horizontal="center" vertical="center" shrinkToFit="1"/>
    </xf>
    <xf numFmtId="38" fontId="11" fillId="0" borderId="41" xfId="1" applyFont="1" applyFill="1" applyBorder="1" applyAlignment="1">
      <alignment horizontal="center" vertical="center" shrinkToFit="1"/>
    </xf>
    <xf numFmtId="0" fontId="0" fillId="0" borderId="0" xfId="0" applyAlignment="1">
      <alignment horizontal="right" vertical="center"/>
    </xf>
    <xf numFmtId="38" fontId="12" fillId="0" borderId="40" xfId="1" applyFont="1" applyFill="1" applyBorder="1" applyAlignment="1">
      <alignment horizontal="right" vertical="center" shrinkToFit="1"/>
    </xf>
    <xf numFmtId="38" fontId="5" fillId="0" borderId="0" xfId="1" applyFont="1" applyFill="1" applyBorder="1" applyAlignment="1">
      <alignment horizontal="right" vertical="top" shrinkToFit="1"/>
    </xf>
    <xf numFmtId="38" fontId="16" fillId="0" borderId="42" xfId="1" applyFont="1" applyFill="1" applyBorder="1" applyAlignment="1">
      <alignment horizontal="right" vertical="center" shrinkToFit="1"/>
    </xf>
    <xf numFmtId="38" fontId="2" fillId="0" borderId="0" xfId="1" applyFont="1" applyFill="1" applyBorder="1" applyAlignment="1">
      <alignment horizontal="right" vertical="center"/>
    </xf>
    <xf numFmtId="38" fontId="17" fillId="0" borderId="49" xfId="1" applyFont="1" applyFill="1" applyBorder="1" applyAlignment="1">
      <alignment horizontal="right" vertical="center" shrinkToFit="1"/>
    </xf>
    <xf numFmtId="38" fontId="8" fillId="0" borderId="54" xfId="1" applyFont="1" applyFill="1" applyBorder="1" applyAlignment="1">
      <alignment horizontal="right" vertical="center" shrinkToFit="1"/>
    </xf>
    <xf numFmtId="0" fontId="1" fillId="0" borderId="0" xfId="0" applyFont="1">
      <alignment vertical="center"/>
    </xf>
    <xf numFmtId="38" fontId="12" fillId="5" borderId="4" xfId="1" applyFont="1" applyFill="1" applyBorder="1" applyAlignment="1">
      <alignment horizontal="center" vertical="center" shrinkToFit="1"/>
    </xf>
    <xf numFmtId="38" fontId="15" fillId="5" borderId="21" xfId="1" applyFont="1" applyFill="1" applyBorder="1" applyAlignment="1">
      <alignment vertical="center"/>
    </xf>
    <xf numFmtId="38" fontId="8" fillId="0" borderId="53" xfId="1" applyFont="1" applyFill="1" applyBorder="1" applyAlignment="1">
      <alignment horizontal="right" vertical="center" shrinkToFit="1"/>
    </xf>
    <xf numFmtId="38" fontId="8" fillId="6" borderId="19" xfId="1" applyFont="1" applyFill="1" applyBorder="1" applyAlignment="1">
      <alignment vertical="center" shrinkToFit="1"/>
    </xf>
    <xf numFmtId="38" fontId="8" fillId="6" borderId="38" xfId="1" applyFont="1" applyFill="1" applyBorder="1" applyAlignment="1">
      <alignment horizontal="right" vertical="center" shrinkToFit="1"/>
    </xf>
    <xf numFmtId="176" fontId="13" fillId="0" borderId="56" xfId="1" applyNumberFormat="1" applyFont="1" applyFill="1" applyBorder="1" applyAlignment="1">
      <alignment horizontal="center" vertical="center" wrapText="1"/>
    </xf>
    <xf numFmtId="176" fontId="13" fillId="0" borderId="31" xfId="1" applyNumberFormat="1" applyFont="1" applyFill="1" applyBorder="1" applyAlignment="1">
      <alignment horizontal="center" vertical="center" wrapText="1"/>
    </xf>
    <xf numFmtId="41" fontId="18" fillId="0" borderId="59" xfId="1" applyNumberFormat="1" applyFont="1" applyFill="1" applyBorder="1" applyAlignment="1">
      <alignment horizontal="center" vertical="center" wrapText="1"/>
    </xf>
    <xf numFmtId="178" fontId="11" fillId="0" borderId="0" xfId="1" applyNumberFormat="1" applyFont="1" applyFill="1" applyBorder="1" applyAlignment="1">
      <alignment horizontal="center" vertical="center" shrinkToFit="1"/>
    </xf>
    <xf numFmtId="6" fontId="11" fillId="5" borderId="0" xfId="1" applyNumberFormat="1" applyFont="1" applyFill="1" applyBorder="1" applyAlignment="1">
      <alignment horizontal="center" vertical="center" shrinkToFit="1"/>
    </xf>
    <xf numFmtId="38" fontId="8" fillId="0" borderId="29" xfId="1" applyFont="1" applyFill="1" applyBorder="1" applyAlignment="1">
      <alignment horizontal="right" vertical="center" shrinkToFit="1"/>
    </xf>
    <xf numFmtId="38" fontId="8" fillId="6" borderId="41" xfId="1" applyFont="1" applyFill="1" applyBorder="1" applyAlignment="1">
      <alignment vertical="center" shrinkToFit="1"/>
    </xf>
    <xf numFmtId="38" fontId="26" fillId="0" borderId="29" xfId="1" applyFont="1" applyFill="1" applyBorder="1" applyAlignment="1">
      <alignment horizontal="center" vertical="center" shrinkToFit="1"/>
    </xf>
    <xf numFmtId="38" fontId="26" fillId="0" borderId="18" xfId="1" applyFont="1" applyFill="1" applyBorder="1" applyAlignment="1">
      <alignment horizontal="center" vertical="center" shrinkToFit="1"/>
    </xf>
    <xf numFmtId="38" fontId="26" fillId="0" borderId="15" xfId="1" applyFont="1" applyFill="1" applyBorder="1" applyAlignment="1">
      <alignment horizontal="center" vertical="center" shrinkToFit="1"/>
    </xf>
    <xf numFmtId="38" fontId="26" fillId="0" borderId="55" xfId="1" applyFont="1" applyFill="1" applyBorder="1" applyAlignment="1">
      <alignment horizontal="center" vertical="center" shrinkToFit="1"/>
    </xf>
    <xf numFmtId="38" fontId="26" fillId="0" borderId="30" xfId="1" applyFont="1" applyFill="1" applyBorder="1" applyAlignment="1">
      <alignment horizontal="center" vertical="center" shrinkToFit="1"/>
    </xf>
    <xf numFmtId="38" fontId="8" fillId="8" borderId="19" xfId="1" applyFont="1" applyFill="1" applyBorder="1" applyAlignment="1">
      <alignment horizontal="right" vertical="center" shrinkToFit="1"/>
    </xf>
    <xf numFmtId="38" fontId="8" fillId="8" borderId="41" xfId="1" applyFont="1" applyFill="1" applyBorder="1" applyAlignment="1">
      <alignment horizontal="right" vertical="center" shrinkToFit="1"/>
    </xf>
    <xf numFmtId="38" fontId="8" fillId="8" borderId="38" xfId="1" applyFont="1" applyFill="1" applyBorder="1" applyAlignment="1">
      <alignment horizontal="right" vertical="center" shrinkToFit="1"/>
    </xf>
    <xf numFmtId="38" fontId="27" fillId="0" borderId="0" xfId="0" applyNumberFormat="1" applyFont="1" applyAlignment="1">
      <alignment horizontal="center" vertical="center"/>
    </xf>
    <xf numFmtId="38" fontId="8" fillId="0" borderId="19" xfId="1" applyFont="1" applyFill="1" applyBorder="1" applyAlignment="1">
      <alignment horizontal="center" vertical="center" shrinkToFit="1"/>
    </xf>
    <xf numFmtId="38" fontId="8" fillId="0" borderId="38" xfId="1" applyFont="1" applyFill="1" applyBorder="1" applyAlignment="1">
      <alignment horizontal="center" vertical="center" shrinkToFit="1"/>
    </xf>
    <xf numFmtId="38" fontId="5" fillId="0" borderId="48" xfId="1" applyFont="1" applyFill="1" applyBorder="1" applyAlignment="1">
      <alignment horizontal="right" vertical="top" shrinkToFit="1"/>
    </xf>
    <xf numFmtId="38" fontId="8" fillId="0" borderId="60" xfId="1" applyFont="1" applyFill="1" applyBorder="1" applyAlignment="1">
      <alignment horizontal="right" vertical="center" shrinkToFit="1"/>
    </xf>
    <xf numFmtId="38" fontId="8" fillId="2" borderId="38" xfId="1" applyFont="1" applyFill="1" applyBorder="1" applyAlignment="1">
      <alignment horizontal="right" vertical="center" shrinkToFit="1"/>
    </xf>
    <xf numFmtId="38" fontId="26" fillId="0" borderId="63" xfId="1" applyFont="1" applyFill="1" applyBorder="1" applyAlignment="1">
      <alignment horizontal="center" vertical="center" shrinkToFit="1"/>
    </xf>
    <xf numFmtId="38" fontId="8" fillId="0" borderId="41" xfId="1" applyFont="1" applyFill="1" applyBorder="1" applyAlignment="1">
      <alignment horizontal="center" vertical="center" shrinkToFit="1"/>
    </xf>
    <xf numFmtId="0" fontId="22" fillId="0" borderId="0" xfId="0" applyFont="1" applyAlignment="1">
      <alignment horizontal="center" vertical="center"/>
    </xf>
    <xf numFmtId="0" fontId="22" fillId="7" borderId="21" xfId="0" applyFont="1" applyFill="1" applyBorder="1" applyAlignment="1">
      <alignment horizontal="center" vertical="center"/>
    </xf>
    <xf numFmtId="38" fontId="23" fillId="0" borderId="5" xfId="1" applyFont="1" applyFill="1" applyBorder="1" applyAlignment="1">
      <alignment horizontal="center" vertical="center" shrinkToFit="1"/>
    </xf>
    <xf numFmtId="38" fontId="23" fillId="0" borderId="13" xfId="1" applyFont="1" applyFill="1" applyBorder="1" applyAlignment="1">
      <alignment horizontal="center" vertical="center" shrinkToFit="1"/>
    </xf>
    <xf numFmtId="38" fontId="23" fillId="0" borderId="57" xfId="1" applyFont="1" applyFill="1" applyBorder="1" applyAlignment="1">
      <alignment horizontal="center" vertical="center" shrinkToFit="1"/>
    </xf>
    <xf numFmtId="38" fontId="15" fillId="0" borderId="35" xfId="1" applyFont="1" applyFill="1" applyBorder="1" applyAlignment="1">
      <alignment horizontal="center" vertical="center" shrinkToFit="1"/>
    </xf>
    <xf numFmtId="38" fontId="15" fillId="0" borderId="56" xfId="1" applyFont="1" applyFill="1" applyBorder="1" applyAlignment="1">
      <alignment horizontal="center" vertical="center" shrinkToFit="1"/>
    </xf>
    <xf numFmtId="38" fontId="15" fillId="0" borderId="58" xfId="1" applyFont="1" applyFill="1" applyBorder="1" applyAlignment="1">
      <alignment horizontal="center" vertical="center" shrinkToFit="1"/>
    </xf>
    <xf numFmtId="176" fontId="13" fillId="3" borderId="36" xfId="0" applyNumberFormat="1" applyFont="1" applyFill="1" applyBorder="1" applyAlignment="1">
      <alignment horizontal="center" vertical="center" wrapText="1"/>
    </xf>
    <xf numFmtId="176" fontId="13" fillId="3" borderId="37" xfId="0" applyNumberFormat="1" applyFont="1" applyFill="1" applyBorder="1" applyAlignment="1">
      <alignment horizontal="center" vertical="center" wrapText="1"/>
    </xf>
    <xf numFmtId="178" fontId="11" fillId="0" borderId="23" xfId="2" applyNumberFormat="1" applyFont="1" applyFill="1" applyBorder="1" applyAlignment="1">
      <alignment horizontal="center" vertical="center" shrinkToFit="1"/>
    </xf>
    <xf numFmtId="178" fontId="11" fillId="0" borderId="24" xfId="2" applyNumberFormat="1" applyFont="1" applyFill="1" applyBorder="1" applyAlignment="1">
      <alignment horizontal="center" vertical="center" shrinkToFit="1"/>
    </xf>
    <xf numFmtId="178" fontId="24" fillId="0" borderId="7" xfId="2" applyNumberFormat="1" applyFont="1" applyFill="1" applyBorder="1" applyAlignment="1">
      <alignment horizontal="center" vertical="center" shrinkToFit="1"/>
    </xf>
    <xf numFmtId="178" fontId="11" fillId="0" borderId="8" xfId="2" applyNumberFormat="1" applyFont="1" applyFill="1" applyBorder="1" applyAlignment="1">
      <alignment horizontal="center" vertical="center" shrinkToFit="1"/>
    </xf>
    <xf numFmtId="38" fontId="12" fillId="0" borderId="35" xfId="1" applyFont="1" applyFill="1" applyBorder="1" applyAlignment="1">
      <alignment horizontal="center" vertical="center" shrinkToFit="1"/>
    </xf>
    <xf numFmtId="38" fontId="12" fillId="0" borderId="32" xfId="1" applyFont="1" applyFill="1" applyBorder="1" applyAlignment="1">
      <alignment horizontal="center" vertical="center" shrinkToFit="1"/>
    </xf>
    <xf numFmtId="38" fontId="11" fillId="0" borderId="5" xfId="1" applyFont="1" applyFill="1" applyBorder="1" applyAlignment="1">
      <alignment horizontal="center" vertical="center" shrinkToFit="1"/>
    </xf>
    <xf numFmtId="38" fontId="11" fillId="0" borderId="22" xfId="1" applyFont="1" applyFill="1" applyBorder="1" applyAlignment="1">
      <alignment horizontal="center" vertical="center" shrinkToFit="1"/>
    </xf>
    <xf numFmtId="38" fontId="12" fillId="0" borderId="25" xfId="1" applyFont="1" applyFill="1" applyBorder="1" applyAlignment="1">
      <alignment horizontal="center" vertical="center" shrinkToFit="1"/>
    </xf>
    <xf numFmtId="38" fontId="11" fillId="0" borderId="26" xfId="1" applyFont="1" applyFill="1" applyBorder="1" applyAlignment="1">
      <alignment horizontal="center" vertical="center" shrinkToFit="1"/>
    </xf>
    <xf numFmtId="38" fontId="15" fillId="0" borderId="0" xfId="1" applyFont="1" applyFill="1" applyBorder="1" applyAlignment="1">
      <alignment horizontal="center" vertical="center"/>
    </xf>
    <xf numFmtId="38" fontId="11" fillId="4" borderId="25" xfId="1" applyFont="1" applyFill="1" applyBorder="1" applyAlignment="1">
      <alignment horizontal="center" vertical="center" shrinkToFit="1"/>
    </xf>
    <xf numFmtId="38" fontId="11" fillId="4" borderId="26" xfId="1" applyFont="1" applyFill="1" applyBorder="1" applyAlignment="1">
      <alignment horizontal="center" vertical="center" shrinkToFit="1"/>
    </xf>
    <xf numFmtId="177" fontId="11" fillId="4" borderId="51" xfId="2" applyNumberFormat="1" applyFont="1" applyFill="1" applyBorder="1" applyAlignment="1">
      <alignment horizontal="center" vertical="center" shrinkToFit="1"/>
    </xf>
    <xf numFmtId="177" fontId="11" fillId="4" borderId="52" xfId="2" applyNumberFormat="1" applyFont="1" applyFill="1" applyBorder="1" applyAlignment="1">
      <alignment horizontal="center" vertical="center" shrinkToFit="1"/>
    </xf>
    <xf numFmtId="38" fontId="12" fillId="0" borderId="5" xfId="1" applyFont="1" applyFill="1" applyBorder="1" applyAlignment="1">
      <alignment horizontal="center" vertical="center" wrapText="1"/>
    </xf>
    <xf numFmtId="38" fontId="12" fillId="0" borderId="22" xfId="1" applyFont="1" applyFill="1" applyBorder="1" applyAlignment="1">
      <alignment horizontal="center" vertical="center" wrapText="1"/>
    </xf>
    <xf numFmtId="38" fontId="14" fillId="0" borderId="25" xfId="1" applyFont="1" applyFill="1" applyBorder="1" applyAlignment="1">
      <alignment horizontal="center" vertical="center" shrinkToFit="1"/>
    </xf>
    <xf numFmtId="38" fontId="14" fillId="0" borderId="26" xfId="1" applyFont="1" applyFill="1" applyBorder="1" applyAlignment="1">
      <alignment horizontal="center" vertical="center" shrinkToFit="1"/>
    </xf>
    <xf numFmtId="38" fontId="20" fillId="0" borderId="2" xfId="1" applyFont="1" applyFill="1" applyBorder="1" applyAlignment="1">
      <alignment horizontal="center" vertical="center" wrapText="1" shrinkToFit="1"/>
    </xf>
    <xf numFmtId="38" fontId="21" fillId="0" borderId="3" xfId="1" applyFont="1" applyFill="1" applyBorder="1" applyAlignment="1">
      <alignment horizontal="center" vertical="center" shrinkToFit="1"/>
    </xf>
    <xf numFmtId="38" fontId="21" fillId="0" borderId="10" xfId="1" applyFont="1" applyFill="1" applyBorder="1" applyAlignment="1">
      <alignment horizontal="center" vertical="center" shrinkToFit="1"/>
    </xf>
    <xf numFmtId="38" fontId="21" fillId="0" borderId="11" xfId="1" applyFont="1" applyFill="1" applyBorder="1" applyAlignment="1">
      <alignment horizontal="center" vertical="center" shrinkToFit="1"/>
    </xf>
    <xf numFmtId="178" fontId="11" fillId="4" borderId="51" xfId="2" applyNumberFormat="1" applyFont="1" applyFill="1" applyBorder="1" applyAlignment="1">
      <alignment horizontal="center" vertical="center" shrinkToFit="1"/>
    </xf>
    <xf numFmtId="178" fontId="11" fillId="4" borderId="52" xfId="2" applyNumberFormat="1" applyFont="1" applyFill="1" applyBorder="1" applyAlignment="1">
      <alignment horizontal="center" vertical="center" shrinkToFit="1"/>
    </xf>
    <xf numFmtId="38" fontId="12" fillId="0" borderId="5" xfId="1" applyFont="1" applyFill="1" applyBorder="1" applyAlignment="1">
      <alignment horizontal="center" vertical="center" wrapText="1" shrinkToFit="1"/>
    </xf>
    <xf numFmtId="38" fontId="12" fillId="0" borderId="22" xfId="1" applyFont="1" applyFill="1" applyBorder="1" applyAlignment="1">
      <alignment horizontal="center" vertical="center" wrapText="1" shrinkToFit="1"/>
    </xf>
    <xf numFmtId="178" fontId="24" fillId="4" borderId="51" xfId="2" applyNumberFormat="1" applyFont="1" applyFill="1" applyBorder="1" applyAlignment="1">
      <alignment horizontal="center" vertical="center" shrinkToFit="1"/>
    </xf>
    <xf numFmtId="178" fontId="24" fillId="4" borderId="52" xfId="2" applyNumberFormat="1" applyFont="1" applyFill="1" applyBorder="1" applyAlignment="1">
      <alignment horizontal="center" vertical="center" shrinkToFit="1"/>
    </xf>
    <xf numFmtId="38" fontId="12" fillId="0" borderId="4" xfId="1" applyFont="1" applyFill="1" applyBorder="1" applyAlignment="1">
      <alignment horizontal="center" vertical="center" wrapText="1" shrinkToFit="1"/>
    </xf>
    <xf numFmtId="38" fontId="11" fillId="0" borderId="12" xfId="1" applyFont="1" applyFill="1" applyBorder="1" applyAlignment="1">
      <alignment horizontal="center" vertical="center" shrinkToFit="1"/>
    </xf>
    <xf numFmtId="0" fontId="9" fillId="0" borderId="61" xfId="0" applyFont="1" applyBorder="1" applyAlignment="1">
      <alignment horizontal="center" vertical="center" wrapText="1"/>
    </xf>
    <xf numFmtId="0" fontId="9" fillId="0" borderId="62" xfId="0" applyFont="1" applyBorder="1" applyAlignment="1">
      <alignment horizontal="center" vertical="center" wrapText="1"/>
    </xf>
    <xf numFmtId="0" fontId="22" fillId="0" borderId="1" xfId="0" applyFont="1" applyBorder="1" applyAlignment="1">
      <alignment horizontal="center" vertical="center"/>
    </xf>
    <xf numFmtId="0" fontId="22" fillId="0" borderId="6" xfId="0" applyFont="1" applyBorder="1" applyAlignment="1">
      <alignment horizontal="center" vertical="center"/>
    </xf>
    <xf numFmtId="0" fontId="22" fillId="0" borderId="20" xfId="0" applyFont="1" applyBorder="1" applyAlignment="1">
      <alignment horizontal="center" vertical="center"/>
    </xf>
    <xf numFmtId="0" fontId="22" fillId="0" borderId="14" xfId="0" applyFont="1" applyBorder="1" applyAlignment="1">
      <alignment horizontal="center" vertical="center"/>
    </xf>
    <xf numFmtId="6" fontId="11" fillId="0" borderId="23" xfId="2" applyFont="1" applyFill="1" applyBorder="1" applyAlignment="1">
      <alignment horizontal="center" vertical="center" shrinkToFit="1"/>
    </xf>
    <xf numFmtId="6" fontId="11" fillId="0" borderId="24" xfId="2" applyFont="1" applyFill="1" applyBorder="1" applyAlignment="1">
      <alignment horizontal="center" vertical="center" shrinkToFit="1"/>
    </xf>
    <xf numFmtId="6" fontId="11" fillId="0" borderId="7" xfId="2" applyFont="1" applyFill="1" applyBorder="1" applyAlignment="1">
      <alignment horizontal="center" vertical="center" shrinkToFit="1"/>
    </xf>
    <xf numFmtId="6" fontId="11" fillId="0" borderId="8" xfId="2" applyFont="1" applyFill="1" applyBorder="1" applyAlignment="1">
      <alignment horizontal="center" vertical="center" shrinkToFit="1"/>
    </xf>
    <xf numFmtId="38" fontId="25" fillId="4" borderId="25" xfId="1" applyFont="1" applyFill="1" applyBorder="1" applyAlignment="1">
      <alignment horizontal="center" vertical="center" shrinkToFit="1"/>
    </xf>
    <xf numFmtId="0" fontId="0" fillId="0" borderId="17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42" xfId="0" applyBorder="1" applyAlignment="1">
      <alignment horizontal="center" vertical="center"/>
    </xf>
    <xf numFmtId="0" fontId="0" fillId="0" borderId="43" xfId="0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22" xfId="0" applyFont="1" applyBorder="1" applyAlignment="1">
      <alignment horizontal="center" vertical="center" wrapText="1"/>
    </xf>
    <xf numFmtId="38" fontId="14" fillId="0" borderId="4" xfId="1" applyFont="1" applyFill="1" applyBorder="1" applyAlignment="1">
      <alignment horizontal="center" vertical="center" shrinkToFit="1"/>
    </xf>
  </cellXfs>
  <cellStyles count="6">
    <cellStyle name="桁区切り" xfId="1" builtinId="6"/>
    <cellStyle name="桁区切り 2" xfId="5" xr:uid="{1587AABA-C5E4-4FB8-8B5B-E33A37457285}"/>
    <cellStyle name="通貨" xfId="2" builtinId="7"/>
    <cellStyle name="標準" xfId="0" builtinId="0"/>
    <cellStyle name="標準 2" xfId="4" xr:uid="{50AC7CE6-EA8A-40A9-9D96-E775E627A10A}"/>
    <cellStyle name="標準 3" xfId="3" xr:uid="{34CB0924-4B2B-420E-863D-E7AECD25C8B6}"/>
  </cellStyles>
  <dxfs count="0"/>
  <tableStyles count="0" defaultTableStyle="TableStyleMedium2" defaultPivotStyle="PivotStyleLight16"/>
  <colors>
    <mruColors>
      <color rgb="FFFFB1B1"/>
      <color rgb="FFCAFFD1"/>
      <color rgb="FFB1C4FF"/>
      <color rgb="FFFCAC9F"/>
      <color rgb="FFFF6600"/>
      <color rgb="FFFF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29CF60-24AF-49F4-A1F7-F4EC70B0B69B}">
  <sheetPr>
    <pageSetUpPr fitToPage="1"/>
  </sheetPr>
  <dimension ref="A1:S17"/>
  <sheetViews>
    <sheetView tabSelected="1" topLeftCell="C1" zoomScale="43" zoomScaleNormal="31" workbookViewId="0">
      <selection activeCell="L16" sqref="L16"/>
    </sheetView>
  </sheetViews>
  <sheetFormatPr defaultColWidth="8.83203125" defaultRowHeight="18"/>
  <cols>
    <col min="1" max="1" width="1.6640625" customWidth="1"/>
    <col min="2" max="2" width="14" customWidth="1"/>
    <col min="3" max="3" width="20.6640625" customWidth="1"/>
    <col min="4" max="4" width="6.33203125" style="41" customWidth="1"/>
    <col min="5" max="5" width="14.83203125" customWidth="1"/>
    <col min="6" max="6" width="9.83203125" customWidth="1"/>
    <col min="7" max="7" width="6.33203125" style="41" customWidth="1"/>
    <col min="8" max="8" width="14.83203125" customWidth="1"/>
    <col min="9" max="9" width="6.33203125" style="41" customWidth="1"/>
    <col min="10" max="10" width="14.83203125" customWidth="1"/>
    <col min="11" max="11" width="6.33203125" style="41" customWidth="1"/>
    <col min="12" max="12" width="14.83203125" customWidth="1"/>
    <col min="13" max="13" width="14.1640625" bestFit="1" customWidth="1"/>
    <col min="14" max="14" width="15" bestFit="1" customWidth="1"/>
    <col min="15" max="16" width="14.5" customWidth="1"/>
    <col min="17" max="17" width="31.6640625" customWidth="1"/>
    <col min="18" max="18" width="10.5" customWidth="1"/>
    <col min="19" max="19" width="12.1640625" customWidth="1"/>
    <col min="20" max="20" width="23.33203125" customWidth="1"/>
  </cols>
  <sheetData>
    <row r="1" spans="1:19" ht="37" customHeight="1" thickBot="1">
      <c r="A1" s="97" t="s">
        <v>28</v>
      </c>
      <c r="B1" s="97"/>
      <c r="C1" s="97"/>
      <c r="D1" s="97"/>
      <c r="E1" s="97"/>
      <c r="F1" s="50" t="s">
        <v>29</v>
      </c>
      <c r="G1" s="45"/>
      <c r="H1" s="5"/>
      <c r="I1" s="78" t="s">
        <v>30</v>
      </c>
      <c r="J1" s="78"/>
      <c r="K1" s="78"/>
      <c r="L1" s="78"/>
      <c r="M1" s="26"/>
      <c r="N1" s="26"/>
      <c r="O1" s="26"/>
      <c r="P1" s="16"/>
      <c r="Q1" s="4"/>
    </row>
    <row r="2" spans="1:19">
      <c r="A2" s="1"/>
      <c r="B2" s="82" t="s">
        <v>0</v>
      </c>
      <c r="C2" s="79" t="s">
        <v>16</v>
      </c>
      <c r="D2" s="95" t="s">
        <v>15</v>
      </c>
      <c r="E2" s="96"/>
      <c r="F2" s="49" t="s">
        <v>1</v>
      </c>
      <c r="G2" s="135" t="s">
        <v>19</v>
      </c>
      <c r="H2" s="96"/>
      <c r="I2" s="128" t="s">
        <v>23</v>
      </c>
      <c r="J2" s="99"/>
      <c r="K2" s="98" t="s">
        <v>15</v>
      </c>
      <c r="L2" s="99"/>
      <c r="M2" s="106" t="s">
        <v>25</v>
      </c>
      <c r="N2" s="107"/>
      <c r="O2" s="116" t="s">
        <v>17</v>
      </c>
      <c r="P2" s="102" t="s">
        <v>22</v>
      </c>
      <c r="Q2" s="102" t="s">
        <v>24</v>
      </c>
      <c r="R2" s="120" t="s">
        <v>2</v>
      </c>
      <c r="S2" s="121"/>
    </row>
    <row r="3" spans="1:19" ht="48.75" customHeight="1" thickBot="1">
      <c r="A3" s="1"/>
      <c r="B3" s="83"/>
      <c r="C3" s="80"/>
      <c r="D3" s="124">
        <v>500</v>
      </c>
      <c r="E3" s="125"/>
      <c r="F3" s="58">
        <v>0</v>
      </c>
      <c r="G3" s="126">
        <v>1000</v>
      </c>
      <c r="H3" s="127"/>
      <c r="I3" s="100">
        <v>1000</v>
      </c>
      <c r="J3" s="101"/>
      <c r="K3" s="100">
        <v>500</v>
      </c>
      <c r="L3" s="101"/>
      <c r="M3" s="108"/>
      <c r="N3" s="109"/>
      <c r="O3" s="117"/>
      <c r="P3" s="133"/>
      <c r="Q3" s="134"/>
      <c r="R3" s="122"/>
      <c r="S3" s="123"/>
    </row>
    <row r="4" spans="1:19" s="48" customFormat="1" ht="19" thickTop="1" thickBot="1">
      <c r="A4" s="1"/>
      <c r="B4" s="84"/>
      <c r="C4" s="81"/>
      <c r="D4" s="42" t="s">
        <v>4</v>
      </c>
      <c r="E4" s="34" t="s">
        <v>12</v>
      </c>
      <c r="F4" s="35" t="s">
        <v>5</v>
      </c>
      <c r="G4" s="44" t="s">
        <v>13</v>
      </c>
      <c r="H4" s="36" t="s">
        <v>6</v>
      </c>
      <c r="I4" s="46" t="s">
        <v>7</v>
      </c>
      <c r="J4" s="33" t="s">
        <v>12</v>
      </c>
      <c r="K4" s="46" t="s">
        <v>7</v>
      </c>
      <c r="L4" s="33" t="s">
        <v>12</v>
      </c>
      <c r="M4" s="37" t="s">
        <v>13</v>
      </c>
      <c r="N4" s="34" t="s">
        <v>12</v>
      </c>
      <c r="O4" s="39" t="s">
        <v>12</v>
      </c>
      <c r="P4" s="40" t="s">
        <v>12</v>
      </c>
      <c r="Q4" s="40" t="s">
        <v>12</v>
      </c>
      <c r="R4" s="122"/>
      <c r="S4" s="123"/>
    </row>
    <row r="5" spans="1:19" ht="49.5" customHeight="1" thickTop="1" thickBot="1">
      <c r="A5" s="1"/>
      <c r="B5" s="54">
        <v>46157</v>
      </c>
      <c r="C5" s="56" t="s">
        <v>26</v>
      </c>
      <c r="D5" s="9">
        <v>66</v>
      </c>
      <c r="E5" s="61">
        <f>D5*$D$3</f>
        <v>33000</v>
      </c>
      <c r="F5" s="2">
        <v>190</v>
      </c>
      <c r="G5" s="8">
        <v>183</v>
      </c>
      <c r="H5" s="63">
        <f t="shared" ref="H5" si="0">G5*$G$3</f>
        <v>183000</v>
      </c>
      <c r="I5" s="47">
        <v>24</v>
      </c>
      <c r="J5" s="64">
        <f>I5*$I$3</f>
        <v>24000</v>
      </c>
      <c r="K5" s="47">
        <v>22</v>
      </c>
      <c r="L5" s="62">
        <f>K5*$K$3</f>
        <v>11000</v>
      </c>
      <c r="M5" s="28">
        <f>G5+F5</f>
        <v>373</v>
      </c>
      <c r="N5" s="10">
        <f>H5</f>
        <v>183000</v>
      </c>
      <c r="O5" s="66">
        <f>H5+E5</f>
        <v>216000</v>
      </c>
      <c r="P5" s="52">
        <f>H5+E5-J5-L5</f>
        <v>181000</v>
      </c>
      <c r="Q5" s="70">
        <f>J5+L5</f>
        <v>35000</v>
      </c>
      <c r="R5" s="129" t="s">
        <v>10</v>
      </c>
      <c r="S5" s="130"/>
    </row>
    <row r="6" spans="1:19" ht="49.5" customHeight="1" thickTop="1" thickBot="1">
      <c r="A6" s="1"/>
      <c r="B6" s="55">
        <v>46158</v>
      </c>
      <c r="C6" s="30" t="s">
        <v>27</v>
      </c>
      <c r="D6" s="9">
        <v>76</v>
      </c>
      <c r="E6" s="61">
        <f>D6*$D$3</f>
        <v>38000</v>
      </c>
      <c r="F6" s="2">
        <v>705</v>
      </c>
      <c r="G6" s="8">
        <v>378</v>
      </c>
      <c r="H6" s="63">
        <f t="shared" ref="H6:H7" si="1">G6*$G$3</f>
        <v>378000</v>
      </c>
      <c r="I6" s="47">
        <v>44</v>
      </c>
      <c r="J6" s="64">
        <f>I6*$I$3</f>
        <v>44000</v>
      </c>
      <c r="K6" s="47">
        <v>1</v>
      </c>
      <c r="L6" s="62">
        <f>K6*$K$3</f>
        <v>500</v>
      </c>
      <c r="M6" s="28">
        <f>G6+F6</f>
        <v>1083</v>
      </c>
      <c r="N6" s="10">
        <f>H6</f>
        <v>378000</v>
      </c>
      <c r="O6" s="66">
        <f t="shared" ref="O6:O7" si="2">H6+E6</f>
        <v>416000</v>
      </c>
      <c r="P6" s="52">
        <f>H6+E6-J6-L6</f>
        <v>371500</v>
      </c>
      <c r="Q6" s="70">
        <f t="shared" ref="Q6:Q7" si="3">J6+L6</f>
        <v>44500</v>
      </c>
      <c r="R6" s="129" t="s">
        <v>10</v>
      </c>
      <c r="S6" s="130"/>
    </row>
    <row r="7" spans="1:19" ht="49.5" customHeight="1" thickTop="1" thickBot="1">
      <c r="A7" s="1"/>
      <c r="B7" s="29">
        <v>46159</v>
      </c>
      <c r="C7" s="23" t="s">
        <v>27</v>
      </c>
      <c r="D7" s="18">
        <v>10</v>
      </c>
      <c r="E7" s="61">
        <f>D7*$D$3</f>
        <v>5000</v>
      </c>
      <c r="F7" s="19">
        <v>777</v>
      </c>
      <c r="G7" s="18">
        <v>407</v>
      </c>
      <c r="H7" s="61">
        <f t="shared" si="1"/>
        <v>407000</v>
      </c>
      <c r="I7" s="51">
        <v>33</v>
      </c>
      <c r="J7" s="75">
        <f>I7*$I$3</f>
        <v>33000</v>
      </c>
      <c r="K7" s="51">
        <v>1</v>
      </c>
      <c r="L7" s="65">
        <f>K7*$K$3</f>
        <v>500</v>
      </c>
      <c r="M7" s="24">
        <f>G7+F7</f>
        <v>1184</v>
      </c>
      <c r="N7" s="59">
        <f>H7</f>
        <v>407000</v>
      </c>
      <c r="O7" s="67">
        <f t="shared" si="2"/>
        <v>412000</v>
      </c>
      <c r="P7" s="60">
        <f>H7+E7-J7-L7</f>
        <v>378500</v>
      </c>
      <c r="Q7" s="76">
        <f t="shared" si="3"/>
        <v>33500</v>
      </c>
      <c r="R7" s="131" t="s">
        <v>10</v>
      </c>
      <c r="S7" s="132"/>
    </row>
    <row r="8" spans="1:19" ht="49.5" customHeight="1" thickBot="1">
      <c r="A8" s="1"/>
      <c r="B8" s="85" t="s">
        <v>14</v>
      </c>
      <c r="C8" s="86"/>
      <c r="D8" s="21">
        <f t="shared" ref="D8:Q8" si="4">SUM(D5:D7)</f>
        <v>152</v>
      </c>
      <c r="E8" s="20">
        <f t="shared" si="4"/>
        <v>76000</v>
      </c>
      <c r="F8" s="17">
        <f t="shared" si="4"/>
        <v>1672</v>
      </c>
      <c r="G8" s="21">
        <f t="shared" si="4"/>
        <v>968</v>
      </c>
      <c r="H8" s="20">
        <f t="shared" si="4"/>
        <v>968000</v>
      </c>
      <c r="I8" s="21">
        <f t="shared" si="4"/>
        <v>101</v>
      </c>
      <c r="J8" s="20">
        <f t="shared" si="4"/>
        <v>101000</v>
      </c>
      <c r="K8" s="21">
        <f t="shared" si="4"/>
        <v>24</v>
      </c>
      <c r="L8" s="20">
        <f t="shared" si="4"/>
        <v>12000</v>
      </c>
      <c r="M8" s="27">
        <f t="shared" si="4"/>
        <v>2640</v>
      </c>
      <c r="N8" s="17">
        <f t="shared" si="4"/>
        <v>968000</v>
      </c>
      <c r="O8" s="17">
        <f t="shared" si="4"/>
        <v>1044000</v>
      </c>
      <c r="P8" s="74">
        <f t="shared" si="4"/>
        <v>931000</v>
      </c>
      <c r="Q8" s="71">
        <f t="shared" si="4"/>
        <v>113000</v>
      </c>
      <c r="R8" s="118"/>
      <c r="S8" s="119"/>
    </row>
    <row r="9" spans="1:19" ht="49.5" customHeight="1">
      <c r="A9" s="1"/>
      <c r="B9" s="15"/>
      <c r="C9" s="14"/>
      <c r="D9" s="43"/>
      <c r="E9" s="3"/>
      <c r="F9" s="25"/>
      <c r="G9" s="72"/>
      <c r="H9" s="25"/>
      <c r="I9" s="72"/>
      <c r="J9" s="25"/>
      <c r="K9" s="72"/>
      <c r="L9" s="25"/>
      <c r="M9" s="25"/>
      <c r="N9" s="73"/>
      <c r="O9" s="6"/>
      <c r="P9" s="7"/>
      <c r="Q9" s="7"/>
    </row>
    <row r="10" spans="1:19">
      <c r="A10" s="1"/>
      <c r="B10" s="38"/>
      <c r="D10" s="43"/>
      <c r="E10" s="3"/>
      <c r="F10" s="3"/>
      <c r="G10" s="43"/>
      <c r="H10" s="3"/>
      <c r="I10" s="43"/>
      <c r="J10" s="3"/>
      <c r="K10" s="43"/>
      <c r="L10" s="3"/>
      <c r="M10" s="3"/>
      <c r="N10" s="11"/>
      <c r="O10" s="6"/>
      <c r="P10" s="7"/>
      <c r="Q10" s="7"/>
    </row>
    <row r="11" spans="1:19" ht="18.5" thickBot="1"/>
    <row r="12" spans="1:19">
      <c r="B12" s="91" t="s">
        <v>0</v>
      </c>
      <c r="C12" s="93" t="s">
        <v>11</v>
      </c>
      <c r="D12" s="95" t="s">
        <v>15</v>
      </c>
      <c r="E12" s="96"/>
      <c r="F12" s="13" t="s">
        <v>1</v>
      </c>
      <c r="G12" s="104" t="s">
        <v>19</v>
      </c>
      <c r="H12" s="105"/>
      <c r="I12" s="98" t="s">
        <v>20</v>
      </c>
      <c r="J12" s="99"/>
      <c r="K12" s="98" t="s">
        <v>15</v>
      </c>
      <c r="L12" s="99"/>
      <c r="M12" s="106" t="s">
        <v>25</v>
      </c>
      <c r="N12" s="107"/>
      <c r="O12" s="112" t="s">
        <v>17</v>
      </c>
      <c r="P12" s="102" t="s">
        <v>21</v>
      </c>
      <c r="Q12" s="102" t="s">
        <v>18</v>
      </c>
    </row>
    <row r="13" spans="1:19" ht="32.5" customHeight="1" thickBot="1">
      <c r="B13" s="92"/>
      <c r="C13" s="94"/>
      <c r="D13" s="87">
        <v>500</v>
      </c>
      <c r="E13" s="88"/>
      <c r="F13" s="57">
        <v>0</v>
      </c>
      <c r="G13" s="89">
        <v>1000</v>
      </c>
      <c r="H13" s="90"/>
      <c r="I13" s="114">
        <v>1000</v>
      </c>
      <c r="J13" s="115"/>
      <c r="K13" s="110">
        <v>500</v>
      </c>
      <c r="L13" s="111"/>
      <c r="M13" s="108"/>
      <c r="N13" s="109"/>
      <c r="O13" s="113"/>
      <c r="P13" s="103"/>
      <c r="Q13" s="103"/>
    </row>
    <row r="14" spans="1:19" ht="19" thickTop="1" thickBot="1">
      <c r="B14" s="31" t="s">
        <v>3</v>
      </c>
      <c r="C14" s="32" t="s">
        <v>8</v>
      </c>
      <c r="D14" s="42" t="s">
        <v>4</v>
      </c>
      <c r="E14" s="34" t="s">
        <v>12</v>
      </c>
      <c r="F14" s="35" t="s">
        <v>5</v>
      </c>
      <c r="G14" s="44" t="s">
        <v>13</v>
      </c>
      <c r="H14" s="36" t="s">
        <v>6</v>
      </c>
      <c r="I14" s="46" t="s">
        <v>7</v>
      </c>
      <c r="J14" s="33" t="s">
        <v>12</v>
      </c>
      <c r="K14" s="46" t="s">
        <v>7</v>
      </c>
      <c r="L14" s="33" t="s">
        <v>12</v>
      </c>
      <c r="M14" s="37" t="s">
        <v>13</v>
      </c>
      <c r="N14" s="34" t="s">
        <v>12</v>
      </c>
      <c r="O14" s="39" t="s">
        <v>12</v>
      </c>
      <c r="P14" s="40" t="s">
        <v>12</v>
      </c>
      <c r="Q14" s="40" t="s">
        <v>12</v>
      </c>
    </row>
    <row r="15" spans="1:19" ht="68" customHeight="1" thickBot="1">
      <c r="B15" s="85" t="s">
        <v>9</v>
      </c>
      <c r="C15" s="86"/>
      <c r="D15" s="22">
        <f t="shared" ref="D15:Q15" si="5">SUM(D8)</f>
        <v>152</v>
      </c>
      <c r="E15" s="17">
        <f t="shared" si="5"/>
        <v>76000</v>
      </c>
      <c r="F15" s="17">
        <f t="shared" si="5"/>
        <v>1672</v>
      </c>
      <c r="G15" s="22">
        <f t="shared" si="5"/>
        <v>968</v>
      </c>
      <c r="H15" s="17">
        <f t="shared" si="5"/>
        <v>968000</v>
      </c>
      <c r="I15" s="21">
        <f t="shared" si="5"/>
        <v>101</v>
      </c>
      <c r="J15" s="27">
        <f t="shared" si="5"/>
        <v>101000</v>
      </c>
      <c r="K15" s="21">
        <f t="shared" si="5"/>
        <v>24</v>
      </c>
      <c r="L15" s="12">
        <f t="shared" si="5"/>
        <v>12000</v>
      </c>
      <c r="M15" s="27">
        <f t="shared" si="5"/>
        <v>2640</v>
      </c>
      <c r="N15" s="17">
        <f t="shared" si="5"/>
        <v>968000</v>
      </c>
      <c r="O15" s="68">
        <f t="shared" si="5"/>
        <v>1044000</v>
      </c>
      <c r="P15" s="53">
        <f t="shared" si="5"/>
        <v>931000</v>
      </c>
      <c r="Q15" s="71">
        <f t="shared" si="5"/>
        <v>113000</v>
      </c>
    </row>
    <row r="17" spans="11:13" ht="22.5">
      <c r="K17" s="77"/>
      <c r="L17" s="77"/>
      <c r="M17" s="69"/>
    </row>
  </sheetData>
  <mergeCells count="38">
    <mergeCell ref="O2:O3"/>
    <mergeCell ref="B8:C8"/>
    <mergeCell ref="R8:S8"/>
    <mergeCell ref="R2:S4"/>
    <mergeCell ref="D3:E3"/>
    <mergeCell ref="G3:H3"/>
    <mergeCell ref="D2:E2"/>
    <mergeCell ref="I2:J2"/>
    <mergeCell ref="R5:S5"/>
    <mergeCell ref="R6:S6"/>
    <mergeCell ref="R7:S7"/>
    <mergeCell ref="P2:P3"/>
    <mergeCell ref="Q2:Q3"/>
    <mergeCell ref="M2:N3"/>
    <mergeCell ref="G2:H2"/>
    <mergeCell ref="I3:J3"/>
    <mergeCell ref="Q12:Q13"/>
    <mergeCell ref="G12:H12"/>
    <mergeCell ref="M12:N13"/>
    <mergeCell ref="K13:L13"/>
    <mergeCell ref="K12:L12"/>
    <mergeCell ref="O12:O13"/>
    <mergeCell ref="P12:P13"/>
    <mergeCell ref="I12:J12"/>
    <mergeCell ref="I13:J13"/>
    <mergeCell ref="K17:L17"/>
    <mergeCell ref="I1:L1"/>
    <mergeCell ref="C2:C4"/>
    <mergeCell ref="B2:B4"/>
    <mergeCell ref="B15:C15"/>
    <mergeCell ref="D13:E13"/>
    <mergeCell ref="G13:H13"/>
    <mergeCell ref="B12:B13"/>
    <mergeCell ref="C12:C13"/>
    <mergeCell ref="D12:E12"/>
    <mergeCell ref="A1:E1"/>
    <mergeCell ref="K2:L2"/>
    <mergeCell ref="K3:L3"/>
  </mergeCells>
  <phoneticPr fontId="3"/>
  <printOptions horizontalCentered="1" verticalCentered="1"/>
  <pageMargins left="0.70866141732283472" right="0.70866141732283472" top="0.74803149606299213" bottom="0.74803149606299213" header="0.31496062992125984" footer="0.31496062992125984"/>
  <pageSetup paperSize="9" scale="3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売上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zzkou</dc:creator>
  <cp:keywords/>
  <dc:description/>
  <cp:lastModifiedBy>桜大 山崎</cp:lastModifiedBy>
  <cp:revision/>
  <cp:lastPrinted>2023-08-03T06:22:59Z</cp:lastPrinted>
  <dcterms:created xsi:type="dcterms:W3CDTF">2021-07-25T01:28:34Z</dcterms:created>
  <dcterms:modified xsi:type="dcterms:W3CDTF">2026-07-08T03:11:03Z</dcterms:modified>
  <cp:category/>
  <cp:contentStatus/>
</cp:coreProperties>
</file>